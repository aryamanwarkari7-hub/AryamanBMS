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ING\ARYAMAN\AryamanBMS\AryamanBMS\AryamanBMS\wwwroot\templates\"/>
    </mc:Choice>
  </mc:AlternateContent>
  <xr:revisionPtr revIDLastSave="0" documentId="13_ncr:1_{C08570F7-22C7-4405-93E0-93F91846546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ary" sheetId="1" r:id="rId1"/>
  </sheets>
  <calcPr calcId="191029"/>
</workbook>
</file>

<file path=xl/calcChain.xml><?xml version="1.0" encoding="utf-8"?>
<calcChain xmlns="http://schemas.openxmlformats.org/spreadsheetml/2006/main">
  <c r="F5" i="1" l="1"/>
  <c r="F6" i="1"/>
  <c r="G6" i="1" s="1"/>
  <c r="F7" i="1"/>
  <c r="F8" i="1"/>
  <c r="F9" i="1"/>
  <c r="F10" i="1"/>
  <c r="Q10" i="1" s="1"/>
  <c r="F11" i="1"/>
  <c r="G11" i="1" s="1"/>
  <c r="K11" i="1" s="1"/>
  <c r="F4" i="1"/>
  <c r="Q4" i="1" s="1"/>
  <c r="G7" i="1"/>
  <c r="Q8" i="1"/>
  <c r="Q9" i="1"/>
  <c r="Q5" i="1"/>
  <c r="Q11" i="1"/>
  <c r="E12" i="1"/>
  <c r="D12" i="1"/>
  <c r="G10" i="1" l="1"/>
  <c r="J10" i="1" s="1"/>
  <c r="G4" i="1"/>
  <c r="J4" i="1" s="1"/>
  <c r="P7" i="1"/>
  <c r="H7" i="1"/>
  <c r="L7" i="1"/>
  <c r="I7" i="1"/>
  <c r="V7" i="1"/>
  <c r="P6" i="1"/>
  <c r="V6" i="1"/>
  <c r="K6" i="1"/>
  <c r="L6" i="1"/>
  <c r="H6" i="1"/>
  <c r="Q6" i="1"/>
  <c r="P10" i="1"/>
  <c r="H10" i="1"/>
  <c r="H11" i="1"/>
  <c r="I11" i="1"/>
  <c r="Q7" i="1"/>
  <c r="P11" i="1"/>
  <c r="G5" i="1"/>
  <c r="V5" i="1" s="1"/>
  <c r="F12" i="1"/>
  <c r="G12" i="1" s="1"/>
  <c r="G9" i="1"/>
  <c r="I9" i="1" s="1"/>
  <c r="L10" i="1"/>
  <c r="K10" i="1"/>
  <c r="G8" i="1"/>
  <c r="I10" i="1"/>
  <c r="J11" i="1"/>
  <c r="J6" i="1"/>
  <c r="K7" i="1"/>
  <c r="I6" i="1"/>
  <c r="J7" i="1"/>
  <c r="V10" i="1"/>
  <c r="L11" i="1"/>
  <c r="V11" i="1"/>
  <c r="M10" i="1" l="1"/>
  <c r="L4" i="1"/>
  <c r="V4" i="1"/>
  <c r="H4" i="1"/>
  <c r="M4" i="1" s="1"/>
  <c r="N4" i="1" s="1"/>
  <c r="P4" i="1"/>
  <c r="K4" i="1"/>
  <c r="I4" i="1"/>
  <c r="M11" i="1"/>
  <c r="N11" i="1" s="1"/>
  <c r="M6" i="1"/>
  <c r="N6" i="1" s="1"/>
  <c r="I5" i="1"/>
  <c r="P5" i="1"/>
  <c r="K5" i="1"/>
  <c r="J5" i="1"/>
  <c r="H5" i="1"/>
  <c r="L5" i="1"/>
  <c r="L12" i="1"/>
  <c r="K12" i="1"/>
  <c r="P9" i="1"/>
  <c r="I12" i="1"/>
  <c r="L9" i="1"/>
  <c r="H9" i="1"/>
  <c r="P12" i="1"/>
  <c r="V12" i="1"/>
  <c r="H12" i="1"/>
  <c r="V9" i="1"/>
  <c r="K9" i="1"/>
  <c r="J12" i="1"/>
  <c r="J9" i="1"/>
  <c r="P8" i="1"/>
  <c r="H8" i="1"/>
  <c r="J8" i="1"/>
  <c r="K8" i="1"/>
  <c r="V8" i="1"/>
  <c r="L8" i="1"/>
  <c r="I8" i="1"/>
  <c r="N10" i="1"/>
  <c r="M7" i="1"/>
  <c r="M8" i="1" l="1"/>
  <c r="M5" i="1"/>
  <c r="N5" i="1" s="1"/>
  <c r="U5" i="1" s="1"/>
  <c r="W5" i="1" s="1"/>
  <c r="M12" i="1"/>
  <c r="N12" i="1" s="1"/>
  <c r="O12" i="1" s="1"/>
  <c r="M9" i="1"/>
  <c r="N9" i="1" s="1"/>
  <c r="U9" i="1" s="1"/>
  <c r="W9" i="1" s="1"/>
  <c r="N8" i="1"/>
  <c r="U4" i="1"/>
  <c r="W4" i="1" s="1"/>
  <c r="O4" i="1"/>
  <c r="S4" i="1" s="1"/>
  <c r="U11" i="1"/>
  <c r="W11" i="1" s="1"/>
  <c r="O11" i="1"/>
  <c r="S11" i="1" s="1"/>
  <c r="U10" i="1"/>
  <c r="W10" i="1" s="1"/>
  <c r="O10" i="1"/>
  <c r="S10" i="1" s="1"/>
  <c r="N7" i="1"/>
  <c r="O6" i="1"/>
  <c r="S6" i="1" s="1"/>
  <c r="U6" i="1"/>
  <c r="W6" i="1" s="1"/>
  <c r="O5" i="1" l="1"/>
  <c r="S5" i="1" s="1"/>
  <c r="U12" i="1"/>
  <c r="W12" i="1" s="1"/>
  <c r="O9" i="1"/>
  <c r="S9" i="1" s="1"/>
  <c r="U8" i="1"/>
  <c r="W8" i="1" s="1"/>
  <c r="O8" i="1"/>
  <c r="S8" i="1" s="1"/>
  <c r="O7" i="1"/>
  <c r="S7" i="1" s="1"/>
  <c r="U7" i="1"/>
  <c r="W7" i="1" s="1"/>
</calcChain>
</file>

<file path=xl/sharedStrings.xml><?xml version="1.0" encoding="utf-8"?>
<sst xmlns="http://schemas.openxmlformats.org/spreadsheetml/2006/main" count="53" uniqueCount="47">
  <si>
    <t xml:space="preserve">ARYAMAN TECHNOLOGIES PVT. LTD. </t>
  </si>
  <si>
    <t>S. No.</t>
  </si>
  <si>
    <t>Emp ID</t>
  </si>
  <si>
    <t>DB Name</t>
  </si>
  <si>
    <t>Actual Salary</t>
  </si>
  <si>
    <t>Pay Days</t>
  </si>
  <si>
    <t>Gross Salary</t>
  </si>
  <si>
    <t>BASIC</t>
  </si>
  <si>
    <t>HRA</t>
  </si>
  <si>
    <t>Conveyance</t>
  </si>
  <si>
    <t>TOTAL</t>
  </si>
  <si>
    <t>Gross -Conveyance</t>
  </si>
  <si>
    <t>Advance</t>
  </si>
  <si>
    <t>Total Payable</t>
  </si>
  <si>
    <t>Remark</t>
  </si>
  <si>
    <t>CTC</t>
  </si>
  <si>
    <t>Gender</t>
  </si>
  <si>
    <t>A</t>
  </si>
  <si>
    <t>Male</t>
  </si>
  <si>
    <t>B</t>
  </si>
  <si>
    <t>C</t>
  </si>
  <si>
    <t>D</t>
  </si>
  <si>
    <t>Female</t>
  </si>
  <si>
    <t>E</t>
  </si>
  <si>
    <t>F</t>
  </si>
  <si>
    <t>G</t>
  </si>
  <si>
    <t xml:space="preserve"> Grand Total</t>
  </si>
  <si>
    <t>EMP1</t>
  </si>
  <si>
    <t>EMP2</t>
  </si>
  <si>
    <t>EMP4</t>
  </si>
  <si>
    <t>EMP5</t>
  </si>
  <si>
    <t>EMP6</t>
  </si>
  <si>
    <t>EMP7</t>
  </si>
  <si>
    <t>Medical Allowance</t>
  </si>
  <si>
    <t>Education Allowance</t>
  </si>
  <si>
    <t>Special Allowance</t>
  </si>
  <si>
    <t>PF EMPLOYEE
 CONTRIBUTION
12%</t>
  </si>
  <si>
    <t>ESIC CONTRIBUTION</t>
  </si>
  <si>
    <t>PROFESSIONAL Tax</t>
  </si>
  <si>
    <t>PF EMPLOYER
 CONTRIBUTION
 13%</t>
  </si>
  <si>
    <t>ESIC  CONTRIBUTION
3.25%</t>
  </si>
  <si>
    <t>EMP8</t>
  </si>
  <si>
    <t>EMP9</t>
  </si>
  <si>
    <t>H</t>
  </si>
  <si>
    <t>Month</t>
  </si>
  <si>
    <t>Year</t>
  </si>
  <si>
    <t>Month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</si>
</sst>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8290963469344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/>
    <xf numFmtId="0" fontId="2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" fontId="0" fillId="0" borderId="4" xfId="0" applyNumberForma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0" fillId="0" borderId="4" xfId="0" applyBorder="1"/>
    <xf numFmtId="164" fontId="0" fillId="0" borderId="4" xfId="0" applyNumberFormat="1" applyBorder="1"/>
    <xf numFmtId="49" fontId="2" fillId="0" borderId="4" xfId="0" applyNumberFormat="1" applyFont="1" applyBorder="1" applyAlignment="1" applyProtection="1">
      <alignment horizontal="left"/>
      <protection locked="0"/>
    </xf>
    <xf numFmtId="49" fontId="2" fillId="5" borderId="4" xfId="0" applyNumberFormat="1" applyFont="1" applyFill="1" applyBorder="1" applyAlignment="1" applyProtection="1">
      <alignment horizontal="left"/>
      <protection locked="0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3" fontId="0" fillId="0" borderId="0" xfId="0" applyNumberFormat="1"/>
    <xf numFmtId="3" fontId="0" fillId="0" borderId="0" xfId="0" applyNumberFormat="1" applyAlignment="1">
      <alignment horizontal="center" vertical="center"/>
    </xf>
    <xf numFmtId="3" fontId="2" fillId="3" borderId="4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3" fontId="2" fillId="4" borderId="4" xfId="0" applyNumberFormat="1" applyFont="1" applyFill="1" applyBorder="1" applyAlignment="1">
      <alignment horizontal="center" vertical="center" wrapText="1"/>
    </xf>
    <xf numFmtId="3" fontId="0" fillId="0" borderId="4" xfId="1" applyNumberFormat="1" applyFont="1" applyFill="1" applyBorder="1"/>
    <xf numFmtId="3" fontId="0" fillId="0" borderId="4" xfId="1" applyNumberFormat="1" applyFont="1" applyBorder="1"/>
    <xf numFmtId="3" fontId="0" fillId="0" borderId="5" xfId="1" applyNumberFormat="1" applyFont="1" applyFill="1" applyBorder="1"/>
    <xf numFmtId="3" fontId="2" fillId="0" borderId="4" xfId="0" applyNumberFormat="1" applyFont="1" applyBorder="1"/>
    <xf numFmtId="2" fontId="0" fillId="0" borderId="0" xfId="0" applyNumberFormat="1"/>
    <xf numFmtId="2" fontId="2" fillId="3" borderId="4" xfId="0" applyNumberFormat="1" applyFont="1" applyFill="1" applyBorder="1" applyAlignment="1">
      <alignment horizontal="center" vertical="center" wrapText="1"/>
    </xf>
    <xf numFmtId="2" fontId="0" fillId="0" borderId="4" xfId="1" applyNumberFormat="1" applyFont="1" applyFill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3" fontId="0" fillId="0" borderId="4" xfId="0" applyNumberFormat="1" applyBorder="1" applyAlignment="1">
      <alignment horizontal="right"/>
    </xf>
    <xf numFmtId="3" fontId="0" fillId="0" borderId="4" xfId="1" applyNumberFormat="1" applyFont="1" applyFill="1" applyBorder="1" applyAlignment="1">
      <alignment horizontal="right"/>
    </xf>
    <xf numFmtId="3" fontId="0" fillId="0" borderId="4" xfId="1" applyNumberFormat="1" applyFont="1" applyBorder="1" applyAlignment="1">
      <alignment horizontal="right"/>
    </xf>
    <xf numFmtId="3" fontId="2" fillId="3" borderId="4" xfId="1" applyNumberFormat="1" applyFont="1" applyFill="1" applyBorder="1" applyAlignment="1">
      <alignment horizontal="right"/>
    </xf>
    <xf numFmtId="3" fontId="3" fillId="0" borderId="4" xfId="1" applyNumberFormat="1" applyFont="1" applyFill="1" applyBorder="1" applyAlignment="1">
      <alignment horizontal="right" wrapText="1"/>
    </xf>
    <xf numFmtId="3" fontId="3" fillId="0" borderId="4" xfId="1" applyNumberFormat="1" applyFont="1" applyFill="1" applyBorder="1" applyAlignment="1">
      <alignment horizontal="right"/>
    </xf>
    <xf numFmtId="3" fontId="0" fillId="0" borderId="4" xfId="1" applyNumberFormat="1" applyFont="1" applyBorder="1" applyAlignment="1">
      <alignment horizontal="right" vertical="center" wrapText="1"/>
    </xf>
    <xf numFmtId="3" fontId="2" fillId="4" borderId="5" xfId="1" applyNumberFormat="1" applyFont="1" applyFill="1" applyBorder="1" applyAlignment="1">
      <alignment horizontal="right"/>
    </xf>
    <xf numFmtId="3" fontId="0" fillId="0" borderId="4" xfId="0" applyNumberFormat="1" applyBorder="1" applyAlignment="1">
      <alignment horizontal="right" vertical="center"/>
    </xf>
    <xf numFmtId="3" fontId="2" fillId="2" borderId="1" xfId="0" applyNumberFormat="1" applyFont="1" applyFill="1" applyBorder="1" applyAlignment="1">
      <alignment horizontal="center"/>
    </xf>
    <xf numFmtId="3" fontId="2" fillId="2" borderId="2" xfId="0" applyNumberFormat="1" applyFont="1" applyFill="1" applyBorder="1" applyAlignment="1">
      <alignment horizontal="center"/>
    </xf>
    <xf numFmtId="3" fontId="2" fillId="2" borderId="3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"/>
  <sheetViews>
    <sheetView tabSelected="1" topLeftCell="N1" workbookViewId="0">
      <selection activeCell="Q9" sqref="Q9"/>
    </sheetView>
  </sheetViews>
  <sheetFormatPr defaultRowHeight="14.5" x14ac:dyDescent="0.35"/>
  <cols>
    <col min="4" max="4" width="9.54296875" style="12" bestFit="1" customWidth="1"/>
    <col min="5" max="5" width="9.1796875" style="21"/>
    <col min="6" max="6" width="10.7265625" style="12" customWidth="1"/>
    <col min="7" max="7" width="9.54296875" style="12" bestFit="1" customWidth="1"/>
    <col min="8" max="8" width="9.1796875" style="12"/>
    <col min="9" max="9" width="11.453125" style="12" customWidth="1"/>
    <col min="10" max="10" width="10.7265625" style="12" customWidth="1"/>
    <col min="11" max="11" width="10" style="12" customWidth="1"/>
    <col min="12" max="12" width="11.453125" style="12" customWidth="1"/>
    <col min="13" max="13" width="9.54296875" style="12" bestFit="1" customWidth="1"/>
    <col min="14" max="14" width="11.7265625" style="12" customWidth="1"/>
    <col min="15" max="15" width="16.7265625" style="12" customWidth="1"/>
    <col min="16" max="16" width="14.7265625" style="12" customWidth="1"/>
    <col min="17" max="17" width="17.81640625" style="12" customWidth="1"/>
    <col min="18" max="18" width="9.1796875" style="12"/>
    <col min="19" max="19" width="9.54296875" style="12" bestFit="1" customWidth="1"/>
    <col min="20" max="20" width="9.1796875" style="12"/>
    <col min="21" max="21" width="19.81640625" style="12" customWidth="1"/>
    <col min="22" max="22" width="18.54296875" style="12" customWidth="1"/>
    <col min="23" max="23" width="9.54296875" style="12" bestFit="1" customWidth="1"/>
    <col min="27" max="27" width="11.453125" hidden="1" customWidth="1"/>
    <col min="28" max="28" width="0" hidden="1" customWidth="1"/>
  </cols>
  <sheetData>
    <row r="1" spans="1:27" ht="18.5" x14ac:dyDescent="0.45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AA1" t="s">
        <v>44</v>
      </c>
    </row>
    <row r="2" spans="1:27" x14ac:dyDescent="0.35">
      <c r="A2" s="1"/>
      <c r="C2" s="1"/>
      <c r="O2" s="34"/>
      <c r="P2" s="35"/>
      <c r="Q2" s="35"/>
      <c r="R2" s="36"/>
      <c r="T2" s="13"/>
      <c r="AA2" t="s">
        <v>45</v>
      </c>
    </row>
    <row r="3" spans="1:27" ht="43.5" x14ac:dyDescent="0.35">
      <c r="A3" s="2" t="s">
        <v>1</v>
      </c>
      <c r="B3" s="2" t="s">
        <v>2</v>
      </c>
      <c r="C3" s="2" t="s">
        <v>3</v>
      </c>
      <c r="D3" s="14" t="s">
        <v>4</v>
      </c>
      <c r="E3" s="22" t="s">
        <v>5</v>
      </c>
      <c r="F3" s="14" t="s">
        <v>6</v>
      </c>
      <c r="G3" s="14" t="s">
        <v>7</v>
      </c>
      <c r="H3" s="14" t="s">
        <v>8</v>
      </c>
      <c r="I3" s="14" t="s">
        <v>9</v>
      </c>
      <c r="J3" s="14" t="s">
        <v>33</v>
      </c>
      <c r="K3" s="14" t="s">
        <v>34</v>
      </c>
      <c r="L3" s="14" t="s">
        <v>35</v>
      </c>
      <c r="M3" s="14" t="s">
        <v>10</v>
      </c>
      <c r="N3" s="14" t="s">
        <v>11</v>
      </c>
      <c r="O3" s="15" t="s">
        <v>36</v>
      </c>
      <c r="P3" s="15" t="s">
        <v>37</v>
      </c>
      <c r="Q3" s="15" t="s">
        <v>38</v>
      </c>
      <c r="R3" s="15" t="s">
        <v>12</v>
      </c>
      <c r="S3" s="16" t="s">
        <v>13</v>
      </c>
      <c r="T3" s="14" t="s">
        <v>14</v>
      </c>
      <c r="U3" s="15" t="s">
        <v>39</v>
      </c>
      <c r="V3" s="15" t="s">
        <v>40</v>
      </c>
      <c r="W3" s="15" t="s">
        <v>15</v>
      </c>
      <c r="X3" s="3" t="s">
        <v>16</v>
      </c>
      <c r="AA3" t="s">
        <v>46</v>
      </c>
    </row>
    <row r="4" spans="1:27" x14ac:dyDescent="0.35">
      <c r="A4" s="4">
        <v>1</v>
      </c>
      <c r="B4" s="4" t="s">
        <v>27</v>
      </c>
      <c r="C4" s="5" t="s">
        <v>17</v>
      </c>
      <c r="D4" s="17">
        <v>40550</v>
      </c>
      <c r="E4" s="23">
        <v>26</v>
      </c>
      <c r="F4" s="25">
        <f>D4/31*E4</f>
        <v>34009.677419354834</v>
      </c>
      <c r="G4" s="26">
        <f>ROUND(F4*50%,0)</f>
        <v>17005</v>
      </c>
      <c r="H4" s="26">
        <f>ROUND(G4*40%,0)</f>
        <v>6802</v>
      </c>
      <c r="I4" s="26">
        <f>ROUND(G4*25%,0)</f>
        <v>4251</v>
      </c>
      <c r="J4" s="26">
        <f>ROUND(G4*15%,0)</f>
        <v>2551</v>
      </c>
      <c r="K4" s="26">
        <f>ROUND(G4*10%,0)</f>
        <v>1701</v>
      </c>
      <c r="L4" s="27">
        <f>ROUND(G4*10%,0)</f>
        <v>1701</v>
      </c>
      <c r="M4" s="28">
        <f>ROUND(SUM(G4:L4),0)</f>
        <v>34011</v>
      </c>
      <c r="N4" s="28">
        <f>ROUND(M4-I4,0)</f>
        <v>29760</v>
      </c>
      <c r="O4" s="29">
        <f>ROUND(IF(N4&lt;=15000,N4*12%,1800),0)</f>
        <v>1800</v>
      </c>
      <c r="P4" s="30">
        <f>ROUNDUP(IF(G4&lt;=21000,G4*0.75%,0),0)</f>
        <v>128</v>
      </c>
      <c r="Q4" s="31">
        <f>IF(OR(AND(X4="Male",F4&gt;10000),AND(X4="Female",F4&gt;25000)),200,0)</f>
        <v>200</v>
      </c>
      <c r="R4" s="26">
        <v>0</v>
      </c>
      <c r="S4" s="32">
        <f>ROUND(M4-O4-P4-Q4-R4,0)</f>
        <v>31883</v>
      </c>
      <c r="T4" s="25"/>
      <c r="U4" s="29">
        <f>ROUND(IF(N4&lt;=15000,N4*13%,1950),0)</f>
        <v>1950</v>
      </c>
      <c r="V4" s="30">
        <f>ROUNDUP(IF(G4&lt;=21000,G4*3.25%,0),0)</f>
        <v>553</v>
      </c>
      <c r="W4" s="25">
        <f t="shared" ref="W4:W12" si="0">M4+U4+V4</f>
        <v>36514</v>
      </c>
      <c r="X4" s="7" t="s">
        <v>18</v>
      </c>
    </row>
    <row r="5" spans="1:27" x14ac:dyDescent="0.35">
      <c r="A5" s="4">
        <v>2</v>
      </c>
      <c r="B5" s="4" t="s">
        <v>28</v>
      </c>
      <c r="C5" s="5" t="s">
        <v>19</v>
      </c>
      <c r="D5" s="18">
        <v>50050</v>
      </c>
      <c r="E5" s="23">
        <v>31</v>
      </c>
      <c r="F5" s="25">
        <f t="shared" ref="F5:F11" si="1">D5/31*E5</f>
        <v>50050</v>
      </c>
      <c r="G5" s="26">
        <f t="shared" ref="G5:G12" si="2">ROUND(F5*50%,0)</f>
        <v>25025</v>
      </c>
      <c r="H5" s="26">
        <f t="shared" ref="H5:H12" si="3">ROUND(G5*40%,0)</f>
        <v>10010</v>
      </c>
      <c r="I5" s="26">
        <f t="shared" ref="I5:I12" si="4">ROUND(G5*25%,0)</f>
        <v>6256</v>
      </c>
      <c r="J5" s="26">
        <f t="shared" ref="J5:J12" si="5">ROUND(G5*15%,0)</f>
        <v>3754</v>
      </c>
      <c r="K5" s="26">
        <f t="shared" ref="K5:K12" si="6">ROUND(G5*10%,0)</f>
        <v>2503</v>
      </c>
      <c r="L5" s="27">
        <f t="shared" ref="L5:L12" si="7">ROUND(G5*10%,0)</f>
        <v>2503</v>
      </c>
      <c r="M5" s="28">
        <f t="shared" ref="M5:M12" si="8">ROUND(SUM(G5:L5),0)</f>
        <v>50051</v>
      </c>
      <c r="N5" s="28">
        <f t="shared" ref="N5:N12" si="9">ROUND(M5-I5,0)</f>
        <v>43795</v>
      </c>
      <c r="O5" s="29">
        <f t="shared" ref="O5:O12" si="10">ROUND(IF(N5&lt;=15000,N5*12%,1800),0)</f>
        <v>1800</v>
      </c>
      <c r="P5" s="30">
        <f t="shared" ref="P5:P12" si="11">ROUNDUP(IF(G5&lt;=21000,G5*0.75%,0),0)</f>
        <v>0</v>
      </c>
      <c r="Q5" s="31">
        <f t="shared" ref="Q5:Q11" si="12">IF(OR(AND(X5="Male",F5&gt;10000),AND(X5="Female",F5&gt;25000)),200,0)</f>
        <v>200</v>
      </c>
      <c r="R5" s="26">
        <v>0</v>
      </c>
      <c r="S5" s="32">
        <f t="shared" ref="S5:S11" si="13">ROUND(M5-O5-P5-Q5-R5,0)</f>
        <v>48051</v>
      </c>
      <c r="T5" s="25"/>
      <c r="U5" s="29">
        <f t="shared" ref="U5:U12" si="14">ROUND(IF(N5&lt;=15000,N5*13%,1950),0)</f>
        <v>1950</v>
      </c>
      <c r="V5" s="30">
        <f t="shared" ref="V5:V12" si="15">ROUNDUP(IF(G5&lt;=21000,G5*3.25%,0),0)</f>
        <v>0</v>
      </c>
      <c r="W5" s="25">
        <f t="shared" si="0"/>
        <v>52001</v>
      </c>
      <c r="X5" s="7" t="s">
        <v>18</v>
      </c>
    </row>
    <row r="6" spans="1:27" x14ac:dyDescent="0.35">
      <c r="A6" s="4">
        <v>4</v>
      </c>
      <c r="B6" s="4" t="s">
        <v>29</v>
      </c>
      <c r="C6" s="8" t="s">
        <v>20</v>
      </c>
      <c r="D6" s="17">
        <v>40550</v>
      </c>
      <c r="E6" s="23">
        <v>31</v>
      </c>
      <c r="F6" s="25">
        <f t="shared" si="1"/>
        <v>40550</v>
      </c>
      <c r="G6" s="26">
        <f t="shared" si="2"/>
        <v>20275</v>
      </c>
      <c r="H6" s="26">
        <f t="shared" si="3"/>
        <v>8110</v>
      </c>
      <c r="I6" s="26">
        <f t="shared" si="4"/>
        <v>5069</v>
      </c>
      <c r="J6" s="26">
        <f t="shared" si="5"/>
        <v>3041</v>
      </c>
      <c r="K6" s="26">
        <f t="shared" si="6"/>
        <v>2028</v>
      </c>
      <c r="L6" s="27">
        <f t="shared" si="7"/>
        <v>2028</v>
      </c>
      <c r="M6" s="28">
        <f t="shared" si="8"/>
        <v>40551</v>
      </c>
      <c r="N6" s="28">
        <f t="shared" si="9"/>
        <v>35482</v>
      </c>
      <c r="O6" s="29">
        <f t="shared" si="10"/>
        <v>1800</v>
      </c>
      <c r="P6" s="30">
        <f t="shared" si="11"/>
        <v>153</v>
      </c>
      <c r="Q6" s="31">
        <f t="shared" si="12"/>
        <v>200</v>
      </c>
      <c r="R6" s="26">
        <v>0</v>
      </c>
      <c r="S6" s="32">
        <f t="shared" si="13"/>
        <v>38398</v>
      </c>
      <c r="T6" s="25"/>
      <c r="U6" s="29">
        <f t="shared" si="14"/>
        <v>1950</v>
      </c>
      <c r="V6" s="30">
        <f t="shared" si="15"/>
        <v>659</v>
      </c>
      <c r="W6" s="25">
        <f t="shared" si="0"/>
        <v>43160</v>
      </c>
      <c r="X6" s="7" t="s">
        <v>18</v>
      </c>
    </row>
    <row r="7" spans="1:27" x14ac:dyDescent="0.35">
      <c r="A7" s="4">
        <v>5</v>
      </c>
      <c r="B7" s="4" t="s">
        <v>30</v>
      </c>
      <c r="C7" s="9" t="s">
        <v>21</v>
      </c>
      <c r="D7" s="19">
        <v>28050</v>
      </c>
      <c r="E7" s="23">
        <v>31</v>
      </c>
      <c r="F7" s="25">
        <f t="shared" si="1"/>
        <v>28050</v>
      </c>
      <c r="G7" s="26">
        <f t="shared" si="2"/>
        <v>14025</v>
      </c>
      <c r="H7" s="26">
        <f t="shared" si="3"/>
        <v>5610</v>
      </c>
      <c r="I7" s="26">
        <f t="shared" si="4"/>
        <v>3506</v>
      </c>
      <c r="J7" s="26">
        <f t="shared" si="5"/>
        <v>2104</v>
      </c>
      <c r="K7" s="26">
        <f t="shared" si="6"/>
        <v>1403</v>
      </c>
      <c r="L7" s="27">
        <f t="shared" si="7"/>
        <v>1403</v>
      </c>
      <c r="M7" s="28">
        <f t="shared" si="8"/>
        <v>28051</v>
      </c>
      <c r="N7" s="28">
        <f t="shared" si="9"/>
        <v>24545</v>
      </c>
      <c r="O7" s="29">
        <f t="shared" si="10"/>
        <v>1800</v>
      </c>
      <c r="P7" s="30">
        <f t="shared" si="11"/>
        <v>106</v>
      </c>
      <c r="Q7" s="31">
        <f t="shared" si="12"/>
        <v>200</v>
      </c>
      <c r="R7" s="26">
        <v>0</v>
      </c>
      <c r="S7" s="32">
        <f t="shared" si="13"/>
        <v>25945</v>
      </c>
      <c r="T7" s="25"/>
      <c r="U7" s="29">
        <f t="shared" si="14"/>
        <v>1950</v>
      </c>
      <c r="V7" s="30">
        <f t="shared" si="15"/>
        <v>456</v>
      </c>
      <c r="W7" s="25">
        <f t="shared" si="0"/>
        <v>30457</v>
      </c>
      <c r="X7" s="7" t="s">
        <v>22</v>
      </c>
    </row>
    <row r="8" spans="1:27" x14ac:dyDescent="0.35">
      <c r="A8" s="4">
        <v>6</v>
      </c>
      <c r="B8" s="4" t="s">
        <v>31</v>
      </c>
      <c r="C8" s="5" t="s">
        <v>23</v>
      </c>
      <c r="D8" s="19">
        <v>15000</v>
      </c>
      <c r="E8" s="23">
        <v>31</v>
      </c>
      <c r="F8" s="25">
        <f t="shared" si="1"/>
        <v>15000</v>
      </c>
      <c r="G8" s="26">
        <f t="shared" si="2"/>
        <v>7500</v>
      </c>
      <c r="H8" s="26">
        <f t="shared" si="3"/>
        <v>3000</v>
      </c>
      <c r="I8" s="26">
        <f t="shared" si="4"/>
        <v>1875</v>
      </c>
      <c r="J8" s="26">
        <f t="shared" si="5"/>
        <v>1125</v>
      </c>
      <c r="K8" s="26">
        <f t="shared" si="6"/>
        <v>750</v>
      </c>
      <c r="L8" s="27">
        <f t="shared" si="7"/>
        <v>750</v>
      </c>
      <c r="M8" s="28">
        <f t="shared" si="8"/>
        <v>15000</v>
      </c>
      <c r="N8" s="28">
        <f t="shared" si="9"/>
        <v>13125</v>
      </c>
      <c r="O8" s="29">
        <f t="shared" si="10"/>
        <v>1575</v>
      </c>
      <c r="P8" s="30">
        <f t="shared" si="11"/>
        <v>57</v>
      </c>
      <c r="Q8" s="31">
        <f t="shared" si="12"/>
        <v>0</v>
      </c>
      <c r="R8" s="26">
        <v>0</v>
      </c>
      <c r="S8" s="32">
        <f t="shared" si="13"/>
        <v>13368</v>
      </c>
      <c r="T8" s="25"/>
      <c r="U8" s="29">
        <f t="shared" si="14"/>
        <v>1706</v>
      </c>
      <c r="V8" s="30">
        <f t="shared" si="15"/>
        <v>244</v>
      </c>
      <c r="W8" s="25">
        <f t="shared" si="0"/>
        <v>16950</v>
      </c>
      <c r="X8" s="7" t="s">
        <v>22</v>
      </c>
    </row>
    <row r="9" spans="1:27" x14ac:dyDescent="0.35">
      <c r="A9" s="4">
        <v>7</v>
      </c>
      <c r="B9" s="4" t="s">
        <v>32</v>
      </c>
      <c r="C9" s="10" t="s">
        <v>24</v>
      </c>
      <c r="D9" s="19">
        <v>32050</v>
      </c>
      <c r="E9" s="23">
        <v>31</v>
      </c>
      <c r="F9" s="25">
        <f t="shared" si="1"/>
        <v>32049.999999999996</v>
      </c>
      <c r="G9" s="26">
        <f t="shared" si="2"/>
        <v>16025</v>
      </c>
      <c r="H9" s="26">
        <f t="shared" si="3"/>
        <v>6410</v>
      </c>
      <c r="I9" s="26">
        <f t="shared" si="4"/>
        <v>4006</v>
      </c>
      <c r="J9" s="26">
        <f t="shared" si="5"/>
        <v>2404</v>
      </c>
      <c r="K9" s="26">
        <f t="shared" si="6"/>
        <v>1603</v>
      </c>
      <c r="L9" s="27">
        <f t="shared" si="7"/>
        <v>1603</v>
      </c>
      <c r="M9" s="28">
        <f t="shared" si="8"/>
        <v>32051</v>
      </c>
      <c r="N9" s="28">
        <f t="shared" si="9"/>
        <v>28045</v>
      </c>
      <c r="O9" s="29">
        <f t="shared" si="10"/>
        <v>1800</v>
      </c>
      <c r="P9" s="30">
        <f t="shared" si="11"/>
        <v>121</v>
      </c>
      <c r="Q9" s="31">
        <f t="shared" si="12"/>
        <v>200</v>
      </c>
      <c r="R9" s="26">
        <v>0</v>
      </c>
      <c r="S9" s="32">
        <f t="shared" si="13"/>
        <v>29930</v>
      </c>
      <c r="T9" s="25"/>
      <c r="U9" s="29">
        <f t="shared" si="14"/>
        <v>1950</v>
      </c>
      <c r="V9" s="30">
        <f t="shared" si="15"/>
        <v>521</v>
      </c>
      <c r="W9" s="25">
        <f t="shared" si="0"/>
        <v>34522</v>
      </c>
      <c r="X9" s="7" t="s">
        <v>22</v>
      </c>
    </row>
    <row r="10" spans="1:27" x14ac:dyDescent="0.35">
      <c r="A10" s="4">
        <v>8</v>
      </c>
      <c r="B10" s="4" t="s">
        <v>41</v>
      </c>
      <c r="C10" s="10" t="s">
        <v>25</v>
      </c>
      <c r="D10" s="19">
        <v>22050</v>
      </c>
      <c r="E10" s="23">
        <v>31</v>
      </c>
      <c r="F10" s="25">
        <f t="shared" si="1"/>
        <v>22050</v>
      </c>
      <c r="G10" s="26">
        <f t="shared" si="2"/>
        <v>11025</v>
      </c>
      <c r="H10" s="26">
        <f t="shared" si="3"/>
        <v>4410</v>
      </c>
      <c r="I10" s="26">
        <f t="shared" si="4"/>
        <v>2756</v>
      </c>
      <c r="J10" s="26">
        <f t="shared" si="5"/>
        <v>1654</v>
      </c>
      <c r="K10" s="26">
        <f t="shared" si="6"/>
        <v>1103</v>
      </c>
      <c r="L10" s="27">
        <f t="shared" si="7"/>
        <v>1103</v>
      </c>
      <c r="M10" s="28">
        <f t="shared" si="8"/>
        <v>22051</v>
      </c>
      <c r="N10" s="28">
        <f t="shared" si="9"/>
        <v>19295</v>
      </c>
      <c r="O10" s="29">
        <f t="shared" si="10"/>
        <v>1800</v>
      </c>
      <c r="P10" s="30">
        <f t="shared" si="11"/>
        <v>83</v>
      </c>
      <c r="Q10" s="31">
        <f t="shared" si="12"/>
        <v>0</v>
      </c>
      <c r="R10" s="26">
        <v>0</v>
      </c>
      <c r="S10" s="32">
        <f t="shared" si="13"/>
        <v>20168</v>
      </c>
      <c r="T10" s="25"/>
      <c r="U10" s="29">
        <f t="shared" si="14"/>
        <v>1950</v>
      </c>
      <c r="V10" s="30">
        <f t="shared" si="15"/>
        <v>359</v>
      </c>
      <c r="W10" s="25">
        <f t="shared" si="0"/>
        <v>24360</v>
      </c>
      <c r="X10" s="7" t="s">
        <v>22</v>
      </c>
    </row>
    <row r="11" spans="1:27" x14ac:dyDescent="0.35">
      <c r="A11" s="4">
        <v>9</v>
      </c>
      <c r="B11" s="4" t="s">
        <v>42</v>
      </c>
      <c r="C11" s="10" t="s">
        <v>43</v>
      </c>
      <c r="D11" s="19">
        <v>40550</v>
      </c>
      <c r="E11" s="23">
        <v>31</v>
      </c>
      <c r="F11" s="25">
        <f t="shared" si="1"/>
        <v>40550</v>
      </c>
      <c r="G11" s="26">
        <f t="shared" si="2"/>
        <v>20275</v>
      </c>
      <c r="H11" s="26">
        <f t="shared" si="3"/>
        <v>8110</v>
      </c>
      <c r="I11" s="26">
        <f t="shared" si="4"/>
        <v>5069</v>
      </c>
      <c r="J11" s="26">
        <f t="shared" si="5"/>
        <v>3041</v>
      </c>
      <c r="K11" s="26">
        <f t="shared" si="6"/>
        <v>2028</v>
      </c>
      <c r="L11" s="27">
        <f t="shared" si="7"/>
        <v>2028</v>
      </c>
      <c r="M11" s="28">
        <f t="shared" si="8"/>
        <v>40551</v>
      </c>
      <c r="N11" s="28">
        <f t="shared" si="9"/>
        <v>35482</v>
      </c>
      <c r="O11" s="29">
        <f t="shared" si="10"/>
        <v>1800</v>
      </c>
      <c r="P11" s="30">
        <f t="shared" si="11"/>
        <v>153</v>
      </c>
      <c r="Q11" s="31">
        <f t="shared" si="12"/>
        <v>200</v>
      </c>
      <c r="R11" s="26">
        <v>0</v>
      </c>
      <c r="S11" s="32">
        <f t="shared" si="13"/>
        <v>38398</v>
      </c>
      <c r="T11" s="25"/>
      <c r="U11" s="29">
        <f t="shared" si="14"/>
        <v>1950</v>
      </c>
      <c r="V11" s="30">
        <f t="shared" si="15"/>
        <v>659</v>
      </c>
      <c r="W11" s="25">
        <f t="shared" si="0"/>
        <v>43160</v>
      </c>
      <c r="X11" s="7" t="s">
        <v>22</v>
      </c>
    </row>
    <row r="12" spans="1:27" x14ac:dyDescent="0.35">
      <c r="A12" s="4"/>
      <c r="B12" s="11"/>
      <c r="C12" s="11" t="s">
        <v>26</v>
      </c>
      <c r="D12" s="20">
        <f t="shared" ref="D12:E12" si="16">SUM(D4:D11)</f>
        <v>268850</v>
      </c>
      <c r="E12" s="24">
        <f t="shared" si="16"/>
        <v>243</v>
      </c>
      <c r="F12" s="25">
        <f>SUM(F4:F11)</f>
        <v>262309.67741935485</v>
      </c>
      <c r="G12" s="26">
        <f t="shared" si="2"/>
        <v>131155</v>
      </c>
      <c r="H12" s="26">
        <f t="shared" si="3"/>
        <v>52462</v>
      </c>
      <c r="I12" s="26">
        <f t="shared" si="4"/>
        <v>32789</v>
      </c>
      <c r="J12" s="26">
        <f t="shared" si="5"/>
        <v>19673</v>
      </c>
      <c r="K12" s="26">
        <f t="shared" si="6"/>
        <v>13116</v>
      </c>
      <c r="L12" s="27">
        <f t="shared" si="7"/>
        <v>13116</v>
      </c>
      <c r="M12" s="28">
        <f t="shared" si="8"/>
        <v>262311</v>
      </c>
      <c r="N12" s="28">
        <f t="shared" si="9"/>
        <v>229522</v>
      </c>
      <c r="O12" s="29">
        <f t="shared" si="10"/>
        <v>1800</v>
      </c>
      <c r="P12" s="30">
        <f t="shared" si="11"/>
        <v>0</v>
      </c>
      <c r="Q12" s="31"/>
      <c r="R12" s="26"/>
      <c r="S12" s="32"/>
      <c r="T12" s="33"/>
      <c r="U12" s="29">
        <f t="shared" si="14"/>
        <v>1950</v>
      </c>
      <c r="V12" s="30">
        <f t="shared" si="15"/>
        <v>0</v>
      </c>
      <c r="W12" s="25">
        <f t="shared" si="0"/>
        <v>264261</v>
      </c>
      <c r="X12" s="6"/>
    </row>
  </sheetData>
  <mergeCells count="2">
    <mergeCell ref="O2:R2"/>
    <mergeCell ref="A1:X1"/>
  </mergeCells>
  <dataValidations count="1">
    <dataValidation type="textLength" operator="lessThan" allowBlank="1" showInputMessage="1" showErrorMessage="1" errorTitle="Wrong Format" error="Max  Length 40  Letters_x000a__x000a_Please do not use dots ( . )  in Beneficary Name like &quot;PVT. LTD.&quot;" promptTitle="Baneficiry Account Name" prompt="Max  Length 40  Letters_x000a__x000a_Please do not use dots ( . )  in Beneficary Name like &quot;PVT. LTD.&quot;" sqref="C4:C5 C8:C11" xr:uid="{00000000-0002-0000-0000-000000000000}">
      <formula1>40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ATHARV WARKARI</cp:lastModifiedBy>
  <dcterms:created xsi:type="dcterms:W3CDTF">2026-06-12T05:32:13Z</dcterms:created>
  <dcterms:modified xsi:type="dcterms:W3CDTF">2026-07-06T06:06:06Z</dcterms:modified>
</cp:coreProperties>
</file>